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" sheetId="1" state="visible" r:id="rId1"/>
    <sheet name="BS" sheetId="2" state="visible" r:id="rId2"/>
    <sheet name="CF" sheetId="3" state="visible" r:id="rId3"/>
    <sheet name="Com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_-;-* #,##0_-;-* &quot;-&quot;_-;_-@_-"/>
    <numFmt numFmtId="165" formatCode="%_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3" borderId="1" pivotButton="0" quotePrefix="0" xfId="0"/>
    <xf numFmtId="0" fontId="3" fillId="0" borderId="2" pivotButton="0" quotePrefix="0" xfId="0"/>
    <xf numFmtId="164" fontId="3" fillId="0" borderId="2" pivotButton="0" quotePrefix="0" xfId="0"/>
    <xf numFmtId="164" fontId="2" fillId="0" borderId="1" pivotButton="0" quotePrefix="0" xfId="0"/>
    <xf numFmtId="0" fontId="3" fillId="0" borderId="3" pivotButton="0" quotePrefix="0" xfId="0"/>
    <xf numFmtId="164" fontId="3" fillId="0" borderId="3" pivotButton="0" quotePrefix="0" xfId="0"/>
    <xf numFmtId="0" fontId="2" fillId="0" borderId="0" pivotButton="0" quotePrefix="0" xfId="0"/>
    <xf numFmtId="165" fontId="2" fillId="0" borderId="1" pivotButton="0" quotePrefix="0" xfId="0"/>
    <xf numFmtId="165" fontId="3" fillId="0" borderId="3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Comps Revenue &amp; EBITDA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'Comps'!C1</f>
            </strRef>
          </tx>
          <spPr>
            <a:ln>
              <a:prstDash val="solid"/>
            </a:ln>
          </spPr>
          <cat>
            <numRef>
              <f>'Comps'!$A$2:$A$5</f>
            </numRef>
          </cat>
          <val>
            <numRef>
              <f>'Comps'!$C$2:$C$5</f>
            </numRef>
          </val>
        </ser>
        <ser>
          <idx val="1"/>
          <order val="1"/>
          <tx>
            <strRef>
              <f>'Comps'!D1</f>
            </strRef>
          </tx>
          <spPr>
            <a:ln>
              <a:prstDash val="solid"/>
            </a:ln>
          </spPr>
          <cat>
            <numRef>
              <f>'Comps'!$A$2:$A$5</f>
            </numRef>
          </cat>
          <val>
            <numRef>
              <f>'Comps'!$D$2:$D$5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15" customHeight="1">
      <c r="A1" s="1" t="inlineStr">
        <is>
          <t>Line Item</t>
        </is>
      </c>
      <c r="B1" s="2" t="inlineStr">
        <is>
          <t>2023A</t>
        </is>
      </c>
      <c r="C1" s="2" t="inlineStr">
        <is>
          <t>2024A</t>
        </is>
      </c>
      <c r="D1" s="2" t="inlineStr">
        <is>
          <t>2025E</t>
        </is>
      </c>
    </row>
    <row r="2" ht="15" customHeight="1">
      <c r="A2" s="3" t="inlineStr">
        <is>
          <t>Revenue</t>
        </is>
      </c>
      <c r="B2" s="4" t="n">
        <v>100000</v>
      </c>
      <c r="C2" s="4" t="n">
        <v>120000</v>
      </c>
      <c r="D2" s="4" t="n">
        <v>150000</v>
      </c>
    </row>
    <row r="3" ht="15" customHeight="1">
      <c r="A3" s="3" t="inlineStr">
        <is>
          <t>Cost of Goods Sold</t>
        </is>
      </c>
      <c r="B3" s="4" t="n">
        <v>40000</v>
      </c>
      <c r="C3" s="4" t="n">
        <v>48000</v>
      </c>
      <c r="D3" s="4" t="n">
        <v>60000</v>
      </c>
    </row>
    <row r="4" ht="15" customHeight="1">
      <c r="A4" s="5" t="inlineStr">
        <is>
          <t>Gross Profit</t>
        </is>
      </c>
      <c r="B4" s="6">
        <f>B2-B3</f>
        <v/>
      </c>
      <c r="C4" s="6">
        <f>C2-C3</f>
        <v/>
      </c>
      <c r="D4" s="6">
        <f>D2-D3</f>
        <v/>
      </c>
    </row>
    <row r="5" ht="15" customHeight="1">
      <c r="A5" s="3" t="inlineStr">
        <is>
          <t>SG&amp;A Expense</t>
        </is>
      </c>
      <c r="B5" s="4" t="n">
        <v>20000</v>
      </c>
      <c r="C5" s="4" t="n">
        <v>24000</v>
      </c>
      <c r="D5" s="4" t="n">
        <v>30000</v>
      </c>
    </row>
    <row r="6" ht="15" customHeight="1">
      <c r="A6" s="5" t="inlineStr">
        <is>
          <t>EBITDA</t>
        </is>
      </c>
      <c r="B6" s="6">
        <f>B4-B5</f>
        <v/>
      </c>
      <c r="C6" s="6">
        <f>C4-C5</f>
        <v/>
      </c>
      <c r="D6" s="6">
        <f>D4-D5</f>
        <v/>
      </c>
    </row>
    <row r="7" ht="15" customHeight="1">
      <c r="A7" s="3" t="inlineStr">
        <is>
          <t>Depreciation &amp; Amortization</t>
        </is>
      </c>
      <c r="B7" s="4" t="n">
        <v>5000</v>
      </c>
      <c r="C7" s="4" t="n">
        <v>6000</v>
      </c>
      <c r="D7" s="4" t="n">
        <v>7500</v>
      </c>
    </row>
    <row r="8" ht="15" customHeight="1">
      <c r="A8" s="5" t="inlineStr">
        <is>
          <t>EBIT</t>
        </is>
      </c>
      <c r="B8" s="6">
        <f>B6-B7</f>
        <v/>
      </c>
      <c r="C8" s="6">
        <f>C6-C7</f>
        <v/>
      </c>
      <c r="D8" s="6">
        <f>D6-D7</f>
        <v/>
      </c>
    </row>
    <row r="9" ht="15" customHeight="1">
      <c r="A9" s="3" t="inlineStr">
        <is>
          <t>Interest Expense</t>
        </is>
      </c>
      <c r="B9" s="4" t="n">
        <v>2000</v>
      </c>
      <c r="C9" s="4" t="n">
        <v>1800</v>
      </c>
      <c r="D9" s="4" t="n">
        <v>1500</v>
      </c>
    </row>
    <row r="10" ht="15" customHeight="1">
      <c r="A10" s="5" t="inlineStr">
        <is>
          <t>EBT</t>
        </is>
      </c>
      <c r="B10" s="6">
        <f>B8-B9</f>
        <v/>
      </c>
      <c r="C10" s="6">
        <f>C8-C9</f>
        <v/>
      </c>
      <c r="D10" s="6">
        <f>D8-D9</f>
        <v/>
      </c>
    </row>
    <row r="11" ht="15" customHeight="1">
      <c r="A11" s="3" t="inlineStr">
        <is>
          <t>Tax</t>
        </is>
      </c>
      <c r="B11" s="7">
        <f>B10*0.25</f>
        <v/>
      </c>
      <c r="C11" s="7">
        <f>C10*0.25</f>
        <v/>
      </c>
      <c r="D11" s="7">
        <f>D10*0.25</f>
        <v/>
      </c>
    </row>
    <row r="12" ht="15" customHeight="1">
      <c r="A12" s="8" t="inlineStr">
        <is>
          <t>Net Income</t>
        </is>
      </c>
      <c r="B12" s="9">
        <f>B10-B11</f>
        <v/>
      </c>
      <c r="C12" s="9">
        <f>C10-C11</f>
        <v/>
      </c>
      <c r="D12" s="9">
        <f>D10-D11</f>
        <v/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</sheetData>
  <pageMargins left="0.75" right="0.75" top="1" bottom="1" header="0.5" footer="0.5"/>
  <pageSetup orientation="landscape" fitToHeight="0" fitToWidth="1"/>
  <headerFooter>
    <oddHeader/>
    <oddFooter>&amp;L&amp;C&amp;F | &amp;A&amp;R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15" customHeight="1">
      <c r="A1" s="1" t="inlineStr">
        <is>
          <t>Line Item</t>
        </is>
      </c>
      <c r="B1" s="2" t="inlineStr">
        <is>
          <t>2023A</t>
        </is>
      </c>
      <c r="C1" s="2" t="inlineStr">
        <is>
          <t>2024A</t>
        </is>
      </c>
      <c r="D1" s="2" t="inlineStr">
        <is>
          <t>2025E</t>
        </is>
      </c>
    </row>
    <row r="2" ht="15" customHeight="1">
      <c r="A2" s="3" t="inlineStr">
        <is>
          <t>Cash &amp; Cash Equivalents</t>
        </is>
      </c>
      <c r="B2" s="7">
        <f>CF!B10</f>
        <v/>
      </c>
      <c r="C2" s="7">
        <f>CF!C10</f>
        <v/>
      </c>
      <c r="D2" s="7">
        <f>CF!D10</f>
        <v/>
      </c>
    </row>
    <row r="3" ht="15" customHeight="1">
      <c r="A3" s="3" t="inlineStr">
        <is>
          <t>Accounts Receivable</t>
        </is>
      </c>
      <c r="B3" s="4" t="n">
        <v>15000</v>
      </c>
      <c r="C3" s="4" t="n">
        <v>18000</v>
      </c>
      <c r="D3" s="4" t="n">
        <v>22500</v>
      </c>
    </row>
    <row r="4" ht="15" customHeight="1">
      <c r="A4" s="3" t="inlineStr">
        <is>
          <t>Inventory</t>
        </is>
      </c>
      <c r="B4" s="4" t="n">
        <v>10000</v>
      </c>
      <c r="C4" s="4" t="n">
        <v>12000</v>
      </c>
      <c r="D4" s="4" t="n">
        <v>15000</v>
      </c>
    </row>
    <row r="5" ht="15" customHeight="1">
      <c r="A5" s="5" t="inlineStr">
        <is>
          <t>Current Assets</t>
        </is>
      </c>
      <c r="B5" s="6">
        <f>SUM(B2:B4)</f>
        <v/>
      </c>
      <c r="C5" s="6">
        <f>SUM(C2:C4)</f>
        <v/>
      </c>
      <c r="D5" s="6">
        <f>SUM(D2:D4)</f>
        <v/>
      </c>
    </row>
    <row r="6" ht="15" customHeight="1">
      <c r="A6" s="3" t="inlineStr">
        <is>
          <t>Property, Plant &amp; Equipment</t>
        </is>
      </c>
      <c r="B6" s="4" t="n">
        <v>50000</v>
      </c>
      <c r="C6" s="4" t="n">
        <v>55000</v>
      </c>
      <c r="D6" s="4" t="n">
        <v>60000</v>
      </c>
    </row>
    <row r="7" ht="15" customHeight="1">
      <c r="A7" s="5" t="inlineStr">
        <is>
          <t>Total Assets</t>
        </is>
      </c>
      <c r="B7" s="6">
        <f>B5+B6</f>
        <v/>
      </c>
      <c r="C7" s="6">
        <f>C5+C6</f>
        <v/>
      </c>
      <c r="D7" s="6">
        <f>D5+D6</f>
        <v/>
      </c>
    </row>
    <row r="8" ht="15" customHeight="1">
      <c r="A8" s="3" t="inlineStr">
        <is>
          <t>Accounts Payable</t>
        </is>
      </c>
      <c r="B8" s="4" t="n">
        <v>8000</v>
      </c>
      <c r="C8" s="4" t="n">
        <v>9600</v>
      </c>
      <c r="D8" s="4" t="n">
        <v>12000</v>
      </c>
    </row>
    <row r="9" ht="15" customHeight="1">
      <c r="A9" s="3" t="inlineStr">
        <is>
          <t>Long Term Debt</t>
        </is>
      </c>
      <c r="B9" s="4" t="n">
        <v>25000</v>
      </c>
      <c r="C9" s="4" t="n">
        <v>20000</v>
      </c>
      <c r="D9" s="4" t="n">
        <v>15000</v>
      </c>
    </row>
    <row r="10" ht="15" customHeight="1">
      <c r="A10" s="5" t="inlineStr">
        <is>
          <t>Total Liabilities</t>
        </is>
      </c>
      <c r="B10" s="6">
        <f>B8+B9</f>
        <v/>
      </c>
      <c r="C10" s="6">
        <f>C8+C9</f>
        <v/>
      </c>
      <c r="D10" s="6">
        <f>D8+D9</f>
        <v/>
      </c>
    </row>
    <row r="11" ht="15" customHeight="1">
      <c r="A11" s="3" t="inlineStr">
        <is>
          <t>Common Stock</t>
        </is>
      </c>
      <c r="B11" s="4" t="n">
        <v>20000</v>
      </c>
      <c r="C11" s="4" t="n">
        <v>20000</v>
      </c>
      <c r="D11" s="4" t="n">
        <v>20000</v>
      </c>
    </row>
    <row r="12" ht="15" customHeight="1">
      <c r="A12" s="3" t="inlineStr">
        <is>
          <t>Retained Earnings</t>
        </is>
      </c>
      <c r="B12" s="7" t="n">
        <v>22000</v>
      </c>
      <c r="C12" s="7">
        <f>B12+IS!C12</f>
        <v/>
      </c>
      <c r="D12" s="7">
        <f>C12+IS!D12</f>
        <v/>
      </c>
    </row>
    <row r="13" ht="15" customHeight="1">
      <c r="A13" s="8" t="inlineStr">
        <is>
          <t>Total Liabilities &amp; Equity</t>
        </is>
      </c>
      <c r="B13" s="9">
        <f>B10+B11+B12</f>
        <v/>
      </c>
      <c r="C13" s="9">
        <f>C10+C11+C12</f>
        <v/>
      </c>
      <c r="D13" s="9">
        <f>D10+D11+D12</f>
        <v/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</sheetData>
  <pageMargins left="0.75" right="0.75" top="1" bottom="1" header="0.5" footer="0.5"/>
  <pageSetup orientation="landscape" fitToHeight="0" fitToWidth="1"/>
  <headerFooter>
    <oddHeader/>
    <oddFooter>&amp;L&amp;C&amp;F | &amp;A&amp;R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15" customHeight="1">
      <c r="A1" s="1" t="inlineStr">
        <is>
          <t>Line Item</t>
        </is>
      </c>
      <c r="B1" s="2" t="inlineStr">
        <is>
          <t>2023A</t>
        </is>
      </c>
      <c r="C1" s="2" t="inlineStr">
        <is>
          <t>2024A</t>
        </is>
      </c>
      <c r="D1" s="2" t="inlineStr">
        <is>
          <t>2025E</t>
        </is>
      </c>
      <c r="W1" s="10" t="inlineStr">
        <is>
          <t>CIRCULAR_INTENTIONAL</t>
        </is>
      </c>
      <c r="X1" s="10">
        <f>CF!X1+1</f>
        <v/>
      </c>
    </row>
    <row r="2" ht="15" customHeight="1">
      <c r="A2" s="3" t="inlineStr">
        <is>
          <t>Net Income</t>
        </is>
      </c>
      <c r="B2" s="7">
        <f>IS!B12</f>
        <v/>
      </c>
      <c r="C2" s="7">
        <f>IS!C12</f>
        <v/>
      </c>
      <c r="D2" s="7">
        <f>IS!D12</f>
        <v/>
      </c>
    </row>
    <row r="3" ht="15" customHeight="1">
      <c r="A3" s="3" t="inlineStr">
        <is>
          <t>Depreciation</t>
        </is>
      </c>
      <c r="B3" s="7">
        <f>IS!B7</f>
        <v/>
      </c>
      <c r="C3" s="7">
        <f>IS!C7</f>
        <v/>
      </c>
      <c r="D3" s="7">
        <f>IS!D7</f>
        <v/>
      </c>
    </row>
    <row r="4" ht="15" customHeight="1">
      <c r="A4" s="3" t="inlineStr">
        <is>
          <t>Change in Working Capital</t>
        </is>
      </c>
      <c r="B4" s="4" t="n">
        <v>-2000</v>
      </c>
      <c r="C4" s="4" t="n">
        <v>-2500</v>
      </c>
      <c r="D4" s="4" t="n">
        <v>-3000</v>
      </c>
    </row>
    <row r="5" ht="15" customHeight="1">
      <c r="A5" s="5" t="inlineStr">
        <is>
          <t>Cash Flow from Operations</t>
        </is>
      </c>
      <c r="B5" s="6">
        <f>SUM(B2:B4)</f>
        <v/>
      </c>
      <c r="C5" s="6">
        <f>SUM(C2:C4)</f>
        <v/>
      </c>
      <c r="D5" s="6">
        <f>SUM(D2:D4)</f>
        <v/>
      </c>
    </row>
    <row r="6" ht="15" customHeight="1">
      <c r="A6" s="3" t="inlineStr">
        <is>
          <t>Capital Expenditures</t>
        </is>
      </c>
      <c r="B6" s="4" t="n">
        <v>-5000</v>
      </c>
      <c r="C6" s="4" t="n">
        <v>-6000</v>
      </c>
      <c r="D6" s="4" t="n">
        <v>-7000</v>
      </c>
    </row>
    <row r="7" ht="15" customHeight="1">
      <c r="A7" s="5" t="inlineStr">
        <is>
          <t>Cash Flow from Investing</t>
        </is>
      </c>
      <c r="B7" s="6">
        <f>B6</f>
        <v/>
      </c>
      <c r="C7" s="6">
        <f>C6</f>
        <v/>
      </c>
      <c r="D7" s="6">
        <f>D6</f>
        <v/>
      </c>
    </row>
    <row r="8" ht="15" customHeight="1">
      <c r="A8" s="3" t="inlineStr">
        <is>
          <t>Debt Repayment</t>
        </is>
      </c>
      <c r="B8" s="4" t="n">
        <v>-5000</v>
      </c>
      <c r="C8" s="4" t="n">
        <v>-5000</v>
      </c>
      <c r="D8" s="4" t="n">
        <v>-5000</v>
      </c>
    </row>
    <row r="9" ht="15" customHeight="1">
      <c r="A9" s="5" t="inlineStr">
        <is>
          <t>Cash Flow from Financing</t>
        </is>
      </c>
      <c r="B9" s="6">
        <f>B8</f>
        <v/>
      </c>
      <c r="C9" s="6">
        <f>C8</f>
        <v/>
      </c>
      <c r="D9" s="6">
        <f>D8</f>
        <v/>
      </c>
    </row>
    <row r="10" ht="15" customHeight="1">
      <c r="A10" s="8" t="inlineStr">
        <is>
          <t>Ending Cash</t>
        </is>
      </c>
      <c r="B10" s="9">
        <f>B5+B7+B9</f>
        <v/>
      </c>
      <c r="C10" s="9">
        <f>C5+C7+C9</f>
        <v/>
      </c>
      <c r="D10" s="9">
        <f>D5+D7+D9</f>
        <v/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</sheetData>
  <pageMargins left="0.75" right="0.75" top="1" bottom="1" header="0.5" footer="0.5"/>
  <pageSetup orientation="landscape" fitToHeight="0" fitToWidth="1"/>
  <headerFooter>
    <oddHeader/>
    <oddFooter>&amp;L&amp;C&amp;F | &amp;A&amp;R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15" customHeight="1">
      <c r="A1" s="1" t="inlineStr">
        <is>
          <t>Company</t>
        </is>
      </c>
      <c r="B1" s="1" t="inlineStr">
        <is>
          <t>Category</t>
        </is>
      </c>
      <c r="C1" s="2" t="inlineStr">
        <is>
          <t>Revenue</t>
        </is>
      </c>
      <c r="D1" s="2" t="inlineStr">
        <is>
          <t>EBITDA</t>
        </is>
      </c>
      <c r="E1" s="2" t="inlineStr">
        <is>
          <t>EV</t>
        </is>
      </c>
      <c r="F1" s="2" t="inlineStr">
        <is>
          <t>EV/EBITDA</t>
        </is>
      </c>
    </row>
    <row r="2" ht="15" customHeight="1">
      <c r="A2" s="3" t="inlineStr">
        <is>
          <t>Alpha Inc</t>
        </is>
      </c>
      <c r="B2" s="3" t="inlineStr">
        <is>
          <t>Software</t>
        </is>
      </c>
      <c r="C2" s="4" t="n">
        <v>50000</v>
      </c>
      <c r="D2" s="4" t="n">
        <v>15000</v>
      </c>
      <c r="E2" s="4" t="n">
        <v>150000</v>
      </c>
      <c r="F2" s="11">
        <f>E2/D2</f>
        <v/>
      </c>
    </row>
    <row r="3" ht="15" customHeight="1">
      <c r="A3" s="3" t="inlineStr">
        <is>
          <t>Beta Corp</t>
        </is>
      </c>
      <c r="B3" s="3" t="inlineStr">
        <is>
          <t>Hardware</t>
        </is>
      </c>
      <c r="C3" s="4" t="n">
        <v>80000</v>
      </c>
      <c r="D3" s="4" t="n">
        <v>16000</v>
      </c>
      <c r="E3" s="4" t="n">
        <v>120000</v>
      </c>
      <c r="F3" s="11">
        <f>E3/D3</f>
        <v/>
      </c>
    </row>
    <row r="4" ht="15" customHeight="1">
      <c r="A4" s="3" t="inlineStr">
        <is>
          <t>Gamma Ltd</t>
        </is>
      </c>
      <c r="B4" s="3" t="inlineStr">
        <is>
          <t>Software</t>
        </is>
      </c>
      <c r="C4" s="4" t="n">
        <v>45000</v>
      </c>
      <c r="D4" s="4" t="n">
        <v>13500</v>
      </c>
      <c r="E4" s="4" t="n">
        <v>135000</v>
      </c>
      <c r="F4" s="11">
        <f>E4/D4</f>
        <v/>
      </c>
    </row>
    <row r="5" ht="15" customHeight="1">
      <c r="A5" s="3" t="inlineStr">
        <is>
          <t>Delta LLC</t>
        </is>
      </c>
      <c r="B5" s="3" t="inlineStr">
        <is>
          <t>Hardware</t>
        </is>
      </c>
      <c r="C5" s="4" t="n">
        <v>70000</v>
      </c>
      <c r="D5" s="4" t="n">
        <v>14000</v>
      </c>
      <c r="E5" s="4" t="n">
        <v>98000</v>
      </c>
      <c r="F5" s="11">
        <f>E5/D5</f>
        <v/>
      </c>
    </row>
    <row r="6" ht="15" customHeight="1">
      <c r="A6" s="8" t="inlineStr">
        <is>
          <t>Total / Average</t>
        </is>
      </c>
      <c r="B6" s="8" t="inlineStr">
        <is>
          <t>All</t>
        </is>
      </c>
      <c r="C6" s="9">
        <f>SUM(C2:C5)</f>
        <v/>
      </c>
      <c r="D6" s="9">
        <f>SUM(D2:D5)</f>
        <v/>
      </c>
      <c r="E6" s="9">
        <f>SUM(E2:E5)</f>
        <v/>
      </c>
      <c r="F6" s="12">
        <f>AVERAGE(F2:F5)</f>
        <v/>
      </c>
    </row>
    <row r="7" ht="15" customHeight="1"/>
    <row r="8" ht="15" customHeight="1"/>
    <row r="9" ht="15" customHeight="1"/>
    <row r="10" ht="15" customHeight="1">
      <c r="A10" s="13" t="inlineStr">
        <is>
          <t>Category</t>
        </is>
      </c>
      <c r="B10" s="13" t="inlineStr">
        <is>
          <t>Total Revenue (SUMIFS)</t>
        </is>
      </c>
      <c r="C10" s="13" t="inlineStr">
        <is>
          <t>Total EBITDA (SUMIFS)</t>
        </is>
      </c>
    </row>
    <row r="11" ht="15" customHeight="1">
      <c r="A11" s="3" t="inlineStr">
        <is>
          <t>Software</t>
        </is>
      </c>
      <c r="B11" s="7">
        <f>SUMIFS(C$2:C$5, B$2:B$5, "Software")</f>
        <v/>
      </c>
      <c r="C11" s="7">
        <f>SUMIFS(D$2:D$5, B$2:B$5, "Software")</f>
        <v/>
      </c>
    </row>
    <row r="12" ht="15" customHeight="1">
      <c r="A12" s="3" t="inlineStr">
        <is>
          <t>Hardware</t>
        </is>
      </c>
      <c r="B12" s="7">
        <f>SUMIFS(C$2:C$5, B$2:B$5, "Hardware")</f>
        <v/>
      </c>
      <c r="C12" s="7">
        <f>SUMIFS(D$2:D$5, B$2:B$5, "Hardware")</f>
        <v/>
      </c>
    </row>
    <row r="13" ht="15" customHeight="1">
      <c r="A13" s="8" t="inlineStr">
        <is>
          <t>Summary Total</t>
        </is>
      </c>
      <c r="B13" s="9">
        <f>SUM(B11:B12)</f>
        <v/>
      </c>
      <c r="C13" s="9">
        <f>SUM(C11:C12)</f>
        <v/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</sheetData>
  <pageMargins left="0.75" right="0.75" top="1" bottom="1" header="0.5" footer="0.5"/>
  <pageSetup orientation="landscape" fitToHeight="0" fitToWidth="1"/>
  <headerFooter>
    <oddHeader/>
    <oddFooter>&amp;L&amp;C&amp;F | &amp;A&amp;R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2026-10-14T19:36:08Z</dcterms:created>
  <dcterms:modified xsi:type="dcterms:W3CDTF">2026-10-14T19:36:08Z</dcterms:modified>
</cp:coreProperties>
</file>